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C:\Users\fenn\Nextcloud\Artikel Ethikskala - Empirischer Artikel\"/>
    </mc:Choice>
  </mc:AlternateContent>
  <xr:revisionPtr revIDLastSave="0" documentId="13_ncr:81_{C53A184B-2F7B-49E5-91C5-7026A5FE506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Tabelle1" sheetId="1" r:id="rId1"/>
  </sheets>
  <calcPr calcId="191029"/>
  <customWorkbookViews>
    <customWorkbookView name="Julius Fenn - Persönliche Ansicht" guid="{0AB4E75F-2D7B-4C5A-AD7C-1837EAFF8F53}" mergeInterval="0" personalView="1" maximized="1" xWindow="-2568" yWindow="-124" windowWidth="2576" windowHeight="1416" activeSheetId="1"/>
    <customWorkbookView name="Philipp Höfele - Persönliche Ansicht" guid="{47B4CD57-5B2E-4389-ABE6-89250A82D1C8}" mergeInterval="0" personalView="1" maximized="1" xWindow="-9" yWindow="-9" windowWidth="1938" windowHeight="1048" activeSheetId="1"/>
    <customWorkbookView name="Microsoft Office-Anwender - Persönliche Ansicht" guid="{890A2A41-DF1E-FA42-8D9E-8E3DE3754670}" mergeInterval="0" personalView="1" windowWidth="1365" windowHeight="704" activeSheetId="1"/>
  </customWorkbookView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4" i="1"/>
  <c r="I3" i="1"/>
  <c r="J3" i="1" l="1"/>
</calcChain>
</file>

<file path=xl/sharedStrings.xml><?xml version="1.0" encoding="utf-8"?>
<sst xmlns="http://schemas.openxmlformats.org/spreadsheetml/2006/main" count="183" uniqueCount="182">
  <si>
    <t>"relativist03"</t>
  </si>
  <si>
    <t>"relativist04"</t>
  </si>
  <si>
    <t>"contractualist06"</t>
  </si>
  <si>
    <t>"contractualist07"</t>
  </si>
  <si>
    <t>left</t>
  </si>
  <si>
    <t>right</t>
  </si>
  <si>
    <t>scale</t>
  </si>
  <si>
    <t>"hedonism01"</t>
  </si>
  <si>
    <t>"contractualist02"</t>
  </si>
  <si>
    <t>"contractualist03"</t>
  </si>
  <si>
    <t>"contractualist05"</t>
  </si>
  <si>
    <t>"hedonism03"</t>
  </si>
  <si>
    <t>"hedonism05"</t>
  </si>
  <si>
    <t>"hedonism07"</t>
  </si>
  <si>
    <t>"hedonism08"</t>
  </si>
  <si>
    <t>"utilitarian03"</t>
  </si>
  <si>
    <t>"utilitarian04"</t>
  </si>
  <si>
    <t>"utilitarian07"</t>
  </si>
  <si>
    <t>"utilitarian08"</t>
  </si>
  <si>
    <t>"deontology02"</t>
  </si>
  <si>
    <t>"deontology03"</t>
  </si>
  <si>
    <t>"deontology05"</t>
  </si>
  <si>
    <t>"virtue01"</t>
  </si>
  <si>
    <t>"virtue03"</t>
  </si>
  <si>
    <t>"virtue05"</t>
  </si>
  <si>
    <t>"virtue06"</t>
  </si>
  <si>
    <t>"virtue08"</t>
  </si>
  <si>
    <t>"virtue09"</t>
  </si>
  <si>
    <t>count</t>
  </si>
  <si>
    <t>"relativist01"</t>
  </si>
  <si>
    <t>"relativist02"</t>
  </si>
  <si>
    <t>"relativist05"</t>
  </si>
  <si>
    <t>"contractualist01"</t>
  </si>
  <si>
    <t>"contractualist04"</t>
  </si>
  <si>
    <t>"hedonism02"</t>
  </si>
  <si>
    <t>"hedonism04"</t>
  </si>
  <si>
    <t>"hedonism06"</t>
  </si>
  <si>
    <t>"utilitarian01"</t>
  </si>
  <si>
    <t>"utilitarian05"</t>
  </si>
  <si>
    <t>"utilitarian06"</t>
  </si>
  <si>
    <t>"deontology01"</t>
  </si>
  <si>
    <t>"deontology04"</t>
  </si>
  <si>
    <t>"deontology07"</t>
  </si>
  <si>
    <t>"virtue02"</t>
  </si>
  <si>
    <t>"virtue04"</t>
  </si>
  <si>
    <t>"virtue07"</t>
  </si>
  <si>
    <t>"...is culturally unacceptable"</t>
  </si>
  <si>
    <t>"...is culturally acceptable"</t>
  </si>
  <si>
    <t>"...is unacceptable to my family"</t>
  </si>
  <si>
    <t>"...is acceptable to my family"</t>
  </si>
  <si>
    <t>"...is traditionally unacceptable"</t>
  </si>
  <si>
    <t>"...is traditionally acceptable"</t>
  </si>
  <si>
    <t>"...is individually unacceptable"</t>
  </si>
  <si>
    <t>"...is individually acceptable"</t>
  </si>
  <si>
    <t>"...is unacceptable to people I most admire"</t>
  </si>
  <si>
    <t>"...is acceptable to people I most admire"</t>
  </si>
  <si>
    <t>"...is unjust"</t>
  </si>
  <si>
    <t>"...is just"</t>
  </si>
  <si>
    <t>"...is unfair"</t>
  </si>
  <si>
    <t>"...is fair"</t>
  </si>
  <si>
    <t>"...is not in the best interests of my person"</t>
  </si>
  <si>
    <t>"...is in the best interests of my person"</t>
  </si>
  <si>
    <t>"...does not result in an equal distribution of good and bad"</t>
  </si>
  <si>
    <t>"...results in an equal distribution of good and bad"</t>
  </si>
  <si>
    <t>"...violates my ideas of fairness"</t>
  </si>
  <si>
    <t>"...does not violate my ideas of fairness"</t>
  </si>
  <si>
    <t>"hedonism09"</t>
  </si>
  <si>
    <t>"...leads to the least good for the greatest number"</t>
  </si>
  <si>
    <t>"...leads to the greatest good for the greatest number"</t>
  </si>
  <si>
    <t>"...is not morally right"</t>
  </si>
  <si>
    <t>"...is morally right"</t>
  </si>
  <si>
    <t>"utilitarian09"</t>
  </si>
  <si>
    <t>"deontology08"</t>
  </si>
  <si>
    <t>"...implies no moral obligation to act otherwise"</t>
  </si>
  <si>
    <t>"...minimizes my pleasure"</t>
  </si>
  <si>
    <t>"...maximizes my pleasure"</t>
  </si>
  <si>
    <t>"...is personally unsatisfactory "</t>
  </si>
  <si>
    <t>"...is personally satisfactory"</t>
  </si>
  <si>
    <t>"…provides the least utility for society"</t>
  </si>
  <si>
    <t>"…provides the greatest utility for society"</t>
  </si>
  <si>
    <t>"...minimizes benefits for society"</t>
  </si>
  <si>
    <t>"...maximizes benefits for society"</t>
  </si>
  <si>
    <t>"...maximizes harm for society"</t>
  </si>
  <si>
    <t>"...minimizes harm for society"</t>
  </si>
  <si>
    <t>"...tends overall to be bad for society"</t>
  </si>
  <si>
    <t>"...tends overall to be good for society"</t>
  </si>
  <si>
    <t>"...leads to the greatest ill for the greatest number"</t>
  </si>
  <si>
    <t>"...leads to the least ill for the greatest number"</t>
  </si>
  <si>
    <t>"...results in a negative cost-benefit ratio for society"</t>
  </si>
  <si>
    <t>"...results in a positive cost-benefit ratio for society"</t>
  </si>
  <si>
    <t>"...leads to future harm for society"</t>
  </si>
  <si>
    <t>"...harms my health"</t>
  </si>
  <si>
    <t>"...promotes my health"</t>
  </si>
  <si>
    <t>"...implies a moral obligation to act otherwise"</t>
  </si>
  <si>
    <t>"...prevents treatment with respect in interactions"</t>
  </si>
  <si>
    <t>"...ensures treatment with respect in interactions"</t>
  </si>
  <si>
    <t>"...prevents treatment with dignity in interactions"</t>
  </si>
  <si>
    <t>"...ensures treatment with dignity in interactions"</t>
  </si>
  <si>
    <t>"...promotes a good personal life"</t>
  </si>
  <si>
    <t>"…respects an unwritten contract"</t>
  </si>
  <si>
    <t>"...does not respect an unwritten contract"</t>
  </si>
  <si>
    <t>"...does not respect an unspoken promise"</t>
  </si>
  <si>
    <t>"…respects an unspoken promise"</t>
  </si>
  <si>
    <t>"...harms my freedom"</t>
  </si>
  <si>
    <t>"...harms my safety"</t>
  </si>
  <si>
    <t>"...promotes my freedom"</t>
  </si>
  <si>
    <t>"...promotes my safety"</t>
  </si>
  <si>
    <t>"...is not OK if actions can be justified by their consequences for society"</t>
  </si>
  <si>
    <t>"...is OK if actions can be justified by their consequences for society"</t>
  </si>
  <si>
    <t>"...is inefficient for society"</t>
  </si>
  <si>
    <t>"...is efficient for society"</t>
  </si>
  <si>
    <t>"...implies a moral obligation to act in a certain way"</t>
  </si>
  <si>
    <t>"…goes against an important moral rule by which I live"</t>
  </si>
  <si>
    <t>"...does not go against an important moral rule by which I live"</t>
  </si>
  <si>
    <t>statistisch Frage gut?</t>
  </si>
  <si>
    <t>"...attacks the intrinsic value of nature"</t>
  </si>
  <si>
    <t>"...protects the intrinsic value of nature"</t>
  </si>
  <si>
    <t>"...attacks the value of the cultural environment"</t>
  </si>
  <si>
    <t>"...protects the value of the cultural environment"</t>
  </si>
  <si>
    <t>"...attacks the value of the ecological environment"</t>
  </si>
  <si>
    <t>"…protects the value of the ecological environment"</t>
  </si>
  <si>
    <t>"deontology09"</t>
  </si>
  <si>
    <t>Subject: The technology…</t>
  </si>
  <si>
    <t>"…harms the autonomy of users"</t>
  </si>
  <si>
    <t>"…promotes the autonomy of users"</t>
  </si>
  <si>
    <t>"...is a hindrance to a good personal life"</t>
  </si>
  <si>
    <t>"...would be selfish for me to use"</t>
  </si>
  <si>
    <t>"...would not be selfish for me to use"</t>
  </si>
  <si>
    <t>"...requires me to make sacrifices in order to use it"</t>
  </si>
  <si>
    <t>"...does not require me to make sacrifices in order to use it"</t>
  </si>
  <si>
    <t>"…is developed by someone who has wrong motivations"</t>
  </si>
  <si>
    <t>"…is developed by someone who has good motivations"</t>
  </si>
  <si>
    <t>"…is developed by someone who has wrong desires"</t>
  </si>
  <si>
    <t>"…is developed by someone who has good desires"</t>
  </si>
  <si>
    <t>"...is developed by someone who has a bad character"</t>
  </si>
  <si>
    <t>"...is developed by someone who has a good character"</t>
  </si>
  <si>
    <t>"...is developed by someone who is not prudent"</t>
  </si>
  <si>
    <t>"...is developed by someone who is prudent"</t>
  </si>
  <si>
    <t>"...is developed by someone who is not reasonable"</t>
  </si>
  <si>
    <t>"...is developed by someone who is reasonable"</t>
  </si>
  <si>
    <t>"...is developed by someone who is not striving for professional excellence"</t>
  </si>
  <si>
    <t>"...is developed by someone who is striving for professional excellence"</t>
  </si>
  <si>
    <t>"...is developed by someone who is indifferent towards nature"</t>
  </si>
  <si>
    <t>"…is developed by someone who is respectful towards nature"</t>
  </si>
  <si>
    <t>"…is developed by someone who is insensitive to interactions with society"</t>
  </si>
  <si>
    <t>"…is developed by someone who is sensitive to interactions with society"</t>
  </si>
  <si>
    <t>"...is developed by someone who is acting on ill intentions"</t>
  </si>
  <si>
    <t>"...is developed by someone who is acting on good intentions"</t>
  </si>
  <si>
    <t>"...does not imply a moral obligation to act in a certain way"</t>
  </si>
  <si>
    <t>statistisch Fragen gut? (eigene Dimension?)</t>
  </si>
  <si>
    <t>"utilitarian02"</t>
  </si>
  <si>
    <t>"utilitarian10"</t>
  </si>
  <si>
    <t>"deontology06"</t>
  </si>
  <si>
    <t>"deontology10"</t>
  </si>
  <si>
    <t>"deontology11"</t>
  </si>
  <si>
    <t>"...impedes political rights"</t>
  </si>
  <si>
    <t>"...supports political rights"</t>
  </si>
  <si>
    <t>"...leads to future benefit for society"</t>
  </si>
  <si>
    <t xml:space="preserve">For the development of the technology, which people or groups of people did you have in mind? </t>
  </si>
  <si>
    <t>"What do you consider to be a &lt;b&gt;moral obligation&lt;/b&gt;?"</t>
  </si>
  <si>
    <t>"What do you consider to be a &lt;b&gt;important moral rule&lt;/b&gt;?"</t>
  </si>
  <si>
    <t>"What does &lt;b&gt;respect in interactions&lt;/b&gt; mean for you in a technological context?"</t>
  </si>
  <si>
    <t>"What does &lt;b&gt;dignity in interactions&lt;/b&gt; mean for you in a technological context?"</t>
  </si>
  <si>
    <t>"What do you consider to be a &lt;b&gt;intrinsic value of nature&lt;/b&gt;?"</t>
  </si>
  <si>
    <t>"When in your opinion is the described technology &lt;b&gt;morally right&lt;/b&gt;?"</t>
  </si>
  <si>
    <t>Comments / to test</t>
  </si>
  <si>
    <t>"What does &lt;b&gt;autonomy of users&lt;/b&gt; mean for you in a technological context?"</t>
  </si>
  <si>
    <t>"When in your opinion is the described technology &lt;b&gt;just&lt;/b&gt;?"</t>
  </si>
  <si>
    <t>"When in your opinion is the described technology &lt;b&gt;fair&lt;/b&gt;?"</t>
  </si>
  <si>
    <t>"What do you consider to be an &lt;b&gt;unwritten contract&lt;/b&gt;?"</t>
  </si>
  <si>
    <t>"What do you consider to be an &lt;b&gt;unwritten promise&lt;/b&gt;?"</t>
  </si>
  <si>
    <t>"When in your opinion is the described technology &lt;b&gt;personally satisfactory&lt;/b&gt;?"</t>
  </si>
  <si>
    <t>"When in your opinion is the described technology &lt;b&gt;selfish for you to use&lt;/b&gt;?"</t>
  </si>
  <si>
    <t>"When in your opinion requires the described technology to &lt;b&gt;make sacrifices in order to use it&lt;/b&gt;?"</t>
  </si>
  <si>
    <t>"Which type of &lt;b&gt;utilities&lt;/b&gt; were you thinking of when you answered the question?"</t>
  </si>
  <si>
    <t>Comprehension / Specific Probe</t>
  </si>
  <si>
    <t>"What do you consider to be a &lt;b&gt;idea of fairness&lt;/b&gt;?"</t>
  </si>
  <si>
    <t>"How can the described technology &lt;b&gt;promotes your health&lt;/b&gt;?"</t>
  </si>
  <si>
    <t>"How can the described technology &lt;b&gt;promotes your freedom&lt;/b&gt;?"</t>
  </si>
  <si>
    <t>"…obliges a certain immoral behavior"</t>
  </si>
  <si>
    <t>"...obliges a certain moral behavior"</t>
  </si>
  <si>
    <t>"What do you consider to be a &lt;b&gt;moral behavior&lt;/b&gt;?"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</si>
</sst>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 (Textkörper)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0" fillId="0" borderId="4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9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/>
    <xf numFmtId="0" fontId="0" fillId="0" borderId="2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top" wrapText="1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top"/>
    </xf>
    <xf numFmtId="0" fontId="0" fillId="0" borderId="10" xfId="0" applyFont="1" applyFill="1" applyBorder="1" applyAlignment="1">
      <alignment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vertical="top"/>
    </xf>
    <xf numFmtId="0" fontId="0" fillId="0" borderId="9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left" vertical="top" wrapText="1"/>
    </xf>
    <xf numFmtId="0" fontId="0" fillId="0" borderId="9" xfId="0" applyFont="1" applyFill="1" applyBorder="1" applyAlignment="1">
      <alignment horizontal="left" vertical="top" wrapText="1"/>
    </xf>
    <xf numFmtId="0" fontId="0" fillId="0" borderId="10" xfId="0" applyFont="1" applyFill="1" applyBorder="1" applyAlignment="1">
      <alignment horizontal="left" vertical="top" wrapText="1"/>
    </xf>
    <xf numFmtId="0" fontId="0" fillId="0" borderId="10" xfId="0" quotePrefix="1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10" xfId="0" applyFont="1" applyFill="1" applyBorder="1" applyAlignment="1">
      <alignment horizontal="left" vertical="top" wrapText="1"/>
    </xf>
    <xf numFmtId="0" fontId="0" fillId="0" borderId="1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1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8" Type="http://schemas.openxmlformats.org/officeDocument/2006/relationships/revisionLog" Target="revisionLog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FE46ECD-5F5E-4091-ACDD-8AA9E40FAF8D}" diskRevisions="1" revisionId="251" version="15">
  <header guid="{EFE46ECD-5F5E-4091-ACDD-8AA9E40FAF8D}" dateTime="2022-09-29T12:43:11" maxSheetId="2" userName="Julius Fenn" r:id="rId18" minRId="249" maxRId="251">
    <sheetIdMap count="1">
      <sheetId val="1"/>
    </sheetIdMap>
  </header>
</header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" sId="1">
    <oc r="F35" t="inlineStr">
      <is>
        <t>"What does &lt;b&gt;autonomy of users&lt;/b&gt; mean for you in an technological context?"</t>
      </is>
    </oc>
    <nc r="F35" t="inlineStr">
      <is>
        <t>"What does &lt;b&gt;autonomy of users&lt;/b&gt; mean for you in a technological context?"</t>
      </is>
    </nc>
  </rcc>
  <rcc rId="250" sId="1">
    <oc r="F40" t="inlineStr">
      <is>
        <t>"What does &lt;b&gt;respect in interactions&lt;/b&gt; mean for you in an technological context?"</t>
      </is>
    </oc>
    <nc r="F40" t="inlineStr">
      <is>
        <t>"What does &lt;b&gt;respect in interactions&lt;/b&gt; mean for you in a technological context?"</t>
      </is>
    </nc>
  </rcc>
  <rcc rId="251" sId="1">
    <oc r="F41" t="inlineStr">
      <is>
        <t>"What does &lt;b&gt;dignity in interactions&lt;/b&gt; mean for you in an technological context?"</t>
      </is>
    </oc>
    <nc r="F41" t="inlineStr">
      <is>
        <t>"What does &lt;b&gt;dignity in interactions&lt;/b&gt; mean for you in a technological context?"</t>
      </is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3"/>
  <sheetViews>
    <sheetView tabSelected="1" topLeftCell="A22" zoomScale="220" zoomScaleNormal="220" workbookViewId="0">
      <selection activeCell="F39" sqref="F39"/>
    </sheetView>
  </sheetViews>
  <sheetFormatPr baseColWidth="10" defaultRowHeight="15"/>
  <cols>
    <col min="1" max="1" width="10.7109375" style="2"/>
    <col min="2" max="4" width="22.7109375" style="13" customWidth="1"/>
    <col min="5" max="5" width="22.140625" style="12" customWidth="1"/>
    <col min="6" max="6" width="22.140625" style="40" customWidth="1"/>
  </cols>
  <sheetData>
    <row r="1" spans="1:12">
      <c r="A1" s="43" t="s">
        <v>122</v>
      </c>
      <c r="B1" s="43"/>
      <c r="C1" s="43"/>
    </row>
    <row r="2" spans="1:12" ht="30.75" thickBot="1">
      <c r="A2" s="2" t="s">
        <v>28</v>
      </c>
      <c r="B2" s="13" t="s">
        <v>6</v>
      </c>
      <c r="C2" s="13" t="s">
        <v>4</v>
      </c>
      <c r="D2" s="13" t="s">
        <v>5</v>
      </c>
      <c r="E2" s="12" t="s">
        <v>165</v>
      </c>
      <c r="F2" s="40" t="s">
        <v>175</v>
      </c>
    </row>
    <row r="3" spans="1:12" ht="30">
      <c r="A3" s="2">
        <v>1</v>
      </c>
      <c r="B3" s="4" t="s">
        <v>29</v>
      </c>
      <c r="C3" s="14" t="s">
        <v>46</v>
      </c>
      <c r="D3" s="15" t="s">
        <v>47</v>
      </c>
      <c r="E3" s="6"/>
      <c r="G3">
        <v>5</v>
      </c>
      <c r="I3">
        <f>IF(LEN(F3)=0,0,1)</f>
        <v>0</v>
      </c>
      <c r="J3">
        <f>SUM(I:I)</f>
        <v>21</v>
      </c>
      <c r="L3">
        <f>24/8*30</f>
        <v>90</v>
      </c>
    </row>
    <row r="4" spans="1:12" ht="30">
      <c r="A4" s="2">
        <v>2</v>
      </c>
      <c r="B4" s="3" t="s">
        <v>30</v>
      </c>
      <c r="C4" s="10" t="s">
        <v>48</v>
      </c>
      <c r="D4" s="16" t="s">
        <v>49</v>
      </c>
      <c r="E4" s="7"/>
      <c r="I4">
        <f>IF(LEN(F4)=0,0,1)</f>
        <v>0</v>
      </c>
    </row>
    <row r="5" spans="1:12" ht="30">
      <c r="A5" s="2">
        <v>3</v>
      </c>
      <c r="B5" s="3" t="s">
        <v>0</v>
      </c>
      <c r="C5" s="10" t="s">
        <v>50</v>
      </c>
      <c r="D5" s="16" t="s">
        <v>51</v>
      </c>
      <c r="E5" s="7"/>
      <c r="I5">
        <f t="shared" ref="I5:I53" si="0">IF(LEN(F5)=0,0,1)</f>
        <v>0</v>
      </c>
    </row>
    <row r="6" spans="1:12" ht="30">
      <c r="A6" s="2">
        <v>4</v>
      </c>
      <c r="B6" s="3" t="s">
        <v>1</v>
      </c>
      <c r="C6" s="10" t="s">
        <v>52</v>
      </c>
      <c r="D6" s="16" t="s">
        <v>53</v>
      </c>
      <c r="E6" s="7"/>
      <c r="I6">
        <f t="shared" si="0"/>
        <v>0</v>
      </c>
    </row>
    <row r="7" spans="1:12" ht="30.75" thickBot="1">
      <c r="A7" s="2">
        <v>5</v>
      </c>
      <c r="B7" s="17" t="s">
        <v>31</v>
      </c>
      <c r="C7" s="18" t="s">
        <v>54</v>
      </c>
      <c r="D7" s="19" t="s">
        <v>55</v>
      </c>
      <c r="E7" s="8"/>
      <c r="I7">
        <f t="shared" si="0"/>
        <v>0</v>
      </c>
    </row>
    <row r="8" spans="1:12" ht="50.25" customHeight="1">
      <c r="A8" s="2">
        <v>6</v>
      </c>
      <c r="B8" s="4" t="s">
        <v>32</v>
      </c>
      <c r="C8" s="14" t="s">
        <v>56</v>
      </c>
      <c r="D8" s="15" t="s">
        <v>57</v>
      </c>
      <c r="E8" s="9"/>
      <c r="F8" s="11" t="s">
        <v>167</v>
      </c>
      <c r="G8">
        <v>7</v>
      </c>
      <c r="I8">
        <f t="shared" si="0"/>
        <v>1</v>
      </c>
    </row>
    <row r="9" spans="1:12" ht="60">
      <c r="A9" s="2">
        <v>7</v>
      </c>
      <c r="B9" s="3" t="s">
        <v>8</v>
      </c>
      <c r="C9" s="10" t="s">
        <v>58</v>
      </c>
      <c r="D9" s="16" t="s">
        <v>59</v>
      </c>
      <c r="E9" s="7"/>
      <c r="F9" s="11" t="s">
        <v>168</v>
      </c>
      <c r="I9">
        <f t="shared" si="0"/>
        <v>1</v>
      </c>
    </row>
    <row r="10" spans="1:12" ht="45">
      <c r="A10" s="2">
        <v>8</v>
      </c>
      <c r="B10" s="3" t="s">
        <v>9</v>
      </c>
      <c r="C10" s="10" t="s">
        <v>99</v>
      </c>
      <c r="D10" s="16" t="s">
        <v>100</v>
      </c>
      <c r="E10" s="7"/>
      <c r="F10" s="11" t="s">
        <v>169</v>
      </c>
      <c r="I10">
        <f t="shared" si="0"/>
        <v>1</v>
      </c>
    </row>
    <row r="11" spans="1:12" ht="45">
      <c r="A11" s="2">
        <v>9</v>
      </c>
      <c r="B11" s="3" t="s">
        <v>33</v>
      </c>
      <c r="C11" s="10" t="s">
        <v>102</v>
      </c>
      <c r="D11" s="16" t="s">
        <v>101</v>
      </c>
      <c r="E11" s="7"/>
      <c r="F11" s="11" t="s">
        <v>170</v>
      </c>
      <c r="I11">
        <f t="shared" si="0"/>
        <v>1</v>
      </c>
    </row>
    <row r="12" spans="1:12" ht="45">
      <c r="A12" s="2">
        <v>10</v>
      </c>
      <c r="B12" s="3" t="s">
        <v>10</v>
      </c>
      <c r="C12" s="10" t="s">
        <v>62</v>
      </c>
      <c r="D12" s="16" t="s">
        <v>63</v>
      </c>
      <c r="E12" s="20"/>
      <c r="I12">
        <f t="shared" si="0"/>
        <v>0</v>
      </c>
    </row>
    <row r="13" spans="1:12" ht="45">
      <c r="A13" s="2">
        <v>11</v>
      </c>
      <c r="B13" s="3" t="s">
        <v>2</v>
      </c>
      <c r="C13" s="10" t="s">
        <v>64</v>
      </c>
      <c r="D13" s="16" t="s">
        <v>65</v>
      </c>
      <c r="E13" s="7"/>
      <c r="F13" s="11" t="s">
        <v>176</v>
      </c>
      <c r="I13">
        <f t="shared" si="0"/>
        <v>1</v>
      </c>
    </row>
    <row r="14" spans="1:12" ht="30.75" thickBot="1">
      <c r="A14" s="2">
        <v>12</v>
      </c>
      <c r="B14" s="17" t="s">
        <v>3</v>
      </c>
      <c r="C14" s="18" t="s">
        <v>155</v>
      </c>
      <c r="D14" s="19" t="s">
        <v>156</v>
      </c>
      <c r="E14" s="8"/>
      <c r="I14">
        <f t="shared" si="0"/>
        <v>0</v>
      </c>
    </row>
    <row r="15" spans="1:12" ht="75">
      <c r="A15" s="2">
        <v>13</v>
      </c>
      <c r="B15" s="4" t="s">
        <v>7</v>
      </c>
      <c r="C15" s="14" t="s">
        <v>76</v>
      </c>
      <c r="D15" s="15" t="s">
        <v>77</v>
      </c>
      <c r="E15" s="21"/>
      <c r="F15" s="11" t="s">
        <v>171</v>
      </c>
      <c r="G15">
        <v>9</v>
      </c>
      <c r="I15">
        <f t="shared" si="0"/>
        <v>1</v>
      </c>
    </row>
    <row r="16" spans="1:12" ht="60">
      <c r="A16" s="2">
        <v>14</v>
      </c>
      <c r="B16" s="3" t="s">
        <v>34</v>
      </c>
      <c r="C16" s="10" t="s">
        <v>126</v>
      </c>
      <c r="D16" s="16" t="s">
        <v>127</v>
      </c>
      <c r="E16" s="22"/>
      <c r="F16" s="11" t="s">
        <v>172</v>
      </c>
      <c r="I16">
        <f t="shared" si="0"/>
        <v>1</v>
      </c>
    </row>
    <row r="17" spans="1:9" ht="75">
      <c r="A17" s="2">
        <v>15</v>
      </c>
      <c r="B17" s="3" t="s">
        <v>11</v>
      </c>
      <c r="C17" s="10" t="s">
        <v>128</v>
      </c>
      <c r="D17" s="16" t="s">
        <v>129</v>
      </c>
      <c r="E17" s="20"/>
      <c r="F17" s="11" t="s">
        <v>173</v>
      </c>
      <c r="I17">
        <f t="shared" si="0"/>
        <v>1</v>
      </c>
    </row>
    <row r="18" spans="1:9" ht="30">
      <c r="A18" s="2">
        <v>16</v>
      </c>
      <c r="B18" s="3" t="s">
        <v>35</v>
      </c>
      <c r="C18" s="10" t="s">
        <v>60</v>
      </c>
      <c r="D18" s="16" t="s">
        <v>61</v>
      </c>
      <c r="E18" s="23"/>
      <c r="F18" s="11"/>
      <c r="I18">
        <f t="shared" si="0"/>
        <v>0</v>
      </c>
    </row>
    <row r="19" spans="1:9" ht="30">
      <c r="A19" s="2">
        <v>17</v>
      </c>
      <c r="B19" s="3" t="s">
        <v>12</v>
      </c>
      <c r="C19" s="10" t="s">
        <v>74</v>
      </c>
      <c r="D19" s="16" t="s">
        <v>75</v>
      </c>
      <c r="E19" s="23"/>
      <c r="F19" s="11"/>
      <c r="I19">
        <f t="shared" si="0"/>
        <v>0</v>
      </c>
    </row>
    <row r="20" spans="1:9" ht="30">
      <c r="A20" s="2">
        <v>18</v>
      </c>
      <c r="B20" s="3" t="s">
        <v>36</v>
      </c>
      <c r="C20" s="10" t="s">
        <v>125</v>
      </c>
      <c r="D20" s="16" t="s">
        <v>98</v>
      </c>
      <c r="E20" s="23"/>
      <c r="F20" s="11"/>
      <c r="I20">
        <f t="shared" si="0"/>
        <v>0</v>
      </c>
    </row>
    <row r="21" spans="1:9" ht="60">
      <c r="A21" s="2">
        <v>19</v>
      </c>
      <c r="B21" s="3" t="s">
        <v>13</v>
      </c>
      <c r="C21" s="10" t="s">
        <v>91</v>
      </c>
      <c r="D21" s="16" t="s">
        <v>92</v>
      </c>
      <c r="E21" s="24"/>
      <c r="F21" s="11" t="s">
        <v>177</v>
      </c>
      <c r="I21">
        <f t="shared" si="0"/>
        <v>1</v>
      </c>
    </row>
    <row r="22" spans="1:9" ht="60">
      <c r="A22" s="2">
        <v>20</v>
      </c>
      <c r="B22" s="3" t="s">
        <v>14</v>
      </c>
      <c r="C22" s="10" t="s">
        <v>103</v>
      </c>
      <c r="D22" s="16" t="s">
        <v>105</v>
      </c>
      <c r="E22" s="24"/>
      <c r="F22" s="11" t="s">
        <v>178</v>
      </c>
      <c r="I22">
        <f t="shared" si="0"/>
        <v>1</v>
      </c>
    </row>
    <row r="23" spans="1:9" ht="15.75" thickBot="1">
      <c r="A23" s="2">
        <v>21</v>
      </c>
      <c r="B23" s="17" t="s">
        <v>66</v>
      </c>
      <c r="C23" s="18" t="s">
        <v>104</v>
      </c>
      <c r="D23" s="19" t="s">
        <v>106</v>
      </c>
      <c r="E23" s="27"/>
      <c r="I23">
        <f t="shared" si="0"/>
        <v>0</v>
      </c>
    </row>
    <row r="24" spans="1:9" ht="75">
      <c r="A24" s="2">
        <v>22</v>
      </c>
      <c r="B24" s="4" t="s">
        <v>37</v>
      </c>
      <c r="C24" s="14" t="s">
        <v>78</v>
      </c>
      <c r="D24" s="15" t="s">
        <v>79</v>
      </c>
      <c r="E24" s="28"/>
      <c r="F24" s="40" t="s">
        <v>174</v>
      </c>
      <c r="G24">
        <v>10</v>
      </c>
      <c r="I24">
        <f t="shared" si="0"/>
        <v>1</v>
      </c>
    </row>
    <row r="25" spans="1:9" ht="30">
      <c r="A25" s="2">
        <v>23</v>
      </c>
      <c r="B25" s="3" t="s">
        <v>150</v>
      </c>
      <c r="C25" s="10" t="s">
        <v>80</v>
      </c>
      <c r="D25" s="16" t="s">
        <v>81</v>
      </c>
      <c r="E25" s="25"/>
      <c r="I25">
        <f t="shared" si="0"/>
        <v>0</v>
      </c>
    </row>
    <row r="26" spans="1:9" ht="30">
      <c r="A26" s="2">
        <v>24</v>
      </c>
      <c r="B26" s="3" t="s">
        <v>15</v>
      </c>
      <c r="C26" s="10" t="s">
        <v>82</v>
      </c>
      <c r="D26" s="16" t="s">
        <v>83</v>
      </c>
      <c r="E26" s="23"/>
      <c r="F26" s="11"/>
      <c r="I26">
        <f t="shared" si="0"/>
        <v>0</v>
      </c>
    </row>
    <row r="27" spans="1:9" ht="30">
      <c r="A27" s="2">
        <v>25</v>
      </c>
      <c r="B27" s="3" t="s">
        <v>16</v>
      </c>
      <c r="C27" s="10" t="s">
        <v>84</v>
      </c>
      <c r="D27" s="16" t="s">
        <v>85</v>
      </c>
      <c r="E27" s="23"/>
      <c r="F27" s="11"/>
      <c r="I27">
        <f t="shared" si="0"/>
        <v>0</v>
      </c>
    </row>
    <row r="28" spans="1:9" ht="60">
      <c r="A28" s="2">
        <v>26</v>
      </c>
      <c r="B28" s="3" t="s">
        <v>38</v>
      </c>
      <c r="C28" s="10" t="s">
        <v>107</v>
      </c>
      <c r="D28" s="16" t="s">
        <v>108</v>
      </c>
      <c r="E28" s="23"/>
      <c r="F28" s="11"/>
      <c r="I28">
        <f t="shared" si="0"/>
        <v>0</v>
      </c>
    </row>
    <row r="29" spans="1:9" ht="45">
      <c r="A29" s="2">
        <v>27</v>
      </c>
      <c r="B29" s="3" t="s">
        <v>39</v>
      </c>
      <c r="C29" s="10" t="s">
        <v>67</v>
      </c>
      <c r="D29" s="16" t="s">
        <v>68</v>
      </c>
      <c r="E29" s="23"/>
      <c r="F29" s="11"/>
      <c r="I29">
        <f t="shared" si="0"/>
        <v>0</v>
      </c>
    </row>
    <row r="30" spans="1:9" ht="45">
      <c r="A30" s="2">
        <v>28</v>
      </c>
      <c r="B30" s="3" t="s">
        <v>17</v>
      </c>
      <c r="C30" s="10" t="s">
        <v>86</v>
      </c>
      <c r="D30" s="16" t="s">
        <v>87</v>
      </c>
      <c r="E30" s="20"/>
      <c r="I30">
        <f t="shared" si="0"/>
        <v>0</v>
      </c>
    </row>
    <row r="31" spans="1:9" ht="45">
      <c r="A31" s="2">
        <v>29</v>
      </c>
      <c r="B31" s="3" t="s">
        <v>18</v>
      </c>
      <c r="C31" s="10" t="s">
        <v>88</v>
      </c>
      <c r="D31" s="16" t="s">
        <v>89</v>
      </c>
      <c r="E31" s="23"/>
      <c r="F31" s="11"/>
      <c r="I31">
        <f t="shared" si="0"/>
        <v>0</v>
      </c>
    </row>
    <row r="32" spans="1:9" ht="30">
      <c r="A32" s="2">
        <v>30</v>
      </c>
      <c r="B32" s="3" t="s">
        <v>71</v>
      </c>
      <c r="C32" s="10" t="s">
        <v>109</v>
      </c>
      <c r="D32" s="16" t="s">
        <v>110</v>
      </c>
      <c r="E32" s="23"/>
      <c r="F32" s="11"/>
      <c r="I32">
        <f t="shared" si="0"/>
        <v>0</v>
      </c>
    </row>
    <row r="33" spans="1:9" ht="30.75" thickBot="1">
      <c r="A33" s="2">
        <v>31</v>
      </c>
      <c r="B33" s="17" t="s">
        <v>151</v>
      </c>
      <c r="C33" s="18" t="s">
        <v>90</v>
      </c>
      <c r="D33" s="18" t="s">
        <v>157</v>
      </c>
      <c r="E33" s="26"/>
      <c r="F33" s="11"/>
      <c r="I33">
        <f t="shared" si="0"/>
        <v>0</v>
      </c>
    </row>
    <row r="34" spans="1:9" s="1" customFormat="1" ht="80.25" customHeight="1">
      <c r="A34" s="2">
        <v>32</v>
      </c>
      <c r="B34" s="29" t="s">
        <v>40</v>
      </c>
      <c r="C34" s="30" t="s">
        <v>148</v>
      </c>
      <c r="D34" s="31" t="s">
        <v>111</v>
      </c>
      <c r="E34" s="36"/>
      <c r="F34" s="11" t="s">
        <v>159</v>
      </c>
      <c r="G34" s="1">
        <v>11</v>
      </c>
      <c r="I34">
        <f t="shared" si="0"/>
        <v>1</v>
      </c>
    </row>
    <row r="35" spans="1:9" s="1" customFormat="1" ht="80.25" customHeight="1">
      <c r="A35" s="2">
        <v>33</v>
      </c>
      <c r="B35" s="5" t="s">
        <v>19</v>
      </c>
      <c r="C35" s="11" t="s">
        <v>123</v>
      </c>
      <c r="D35" s="32" t="s">
        <v>124</v>
      </c>
      <c r="E35" s="37"/>
      <c r="F35" s="11" t="s">
        <v>166</v>
      </c>
      <c r="I35">
        <f t="shared" si="0"/>
        <v>1</v>
      </c>
    </row>
    <row r="36" spans="1:9" ht="45">
      <c r="A36" s="2">
        <v>34</v>
      </c>
      <c r="B36" s="5" t="s">
        <v>20</v>
      </c>
      <c r="C36" s="11" t="s">
        <v>179</v>
      </c>
      <c r="D36" s="32" t="s">
        <v>180</v>
      </c>
      <c r="E36" s="38"/>
      <c r="F36" s="11" t="s">
        <v>181</v>
      </c>
      <c r="I36">
        <f t="shared" si="0"/>
        <v>1</v>
      </c>
    </row>
    <row r="37" spans="1:9" ht="66" customHeight="1">
      <c r="A37" s="2">
        <v>35</v>
      </c>
      <c r="B37" s="5" t="s">
        <v>41</v>
      </c>
      <c r="C37" s="11" t="s">
        <v>69</v>
      </c>
      <c r="D37" s="32" t="s">
        <v>70</v>
      </c>
      <c r="E37" s="37"/>
      <c r="F37" s="11" t="s">
        <v>164</v>
      </c>
      <c r="I37">
        <f t="shared" si="0"/>
        <v>1</v>
      </c>
    </row>
    <row r="38" spans="1:9" ht="45">
      <c r="A38" s="2">
        <v>36</v>
      </c>
      <c r="B38" s="5" t="s">
        <v>21</v>
      </c>
      <c r="C38" s="11" t="s">
        <v>112</v>
      </c>
      <c r="D38" s="32" t="s">
        <v>113</v>
      </c>
      <c r="E38" s="37"/>
      <c r="F38" s="11" t="s">
        <v>160</v>
      </c>
      <c r="I38">
        <f t="shared" si="0"/>
        <v>1</v>
      </c>
    </row>
    <row r="39" spans="1:9" ht="60.75" customHeight="1">
      <c r="A39" s="2">
        <v>37</v>
      </c>
      <c r="B39" s="5" t="s">
        <v>152</v>
      </c>
      <c r="C39" s="11" t="s">
        <v>93</v>
      </c>
      <c r="D39" s="32" t="s">
        <v>73</v>
      </c>
      <c r="E39" s="37" t="s">
        <v>114</v>
      </c>
      <c r="F39" s="11"/>
      <c r="I39">
        <f t="shared" si="0"/>
        <v>0</v>
      </c>
    </row>
    <row r="40" spans="1:9" ht="60">
      <c r="A40" s="2">
        <v>38</v>
      </c>
      <c r="B40" s="5" t="s">
        <v>42</v>
      </c>
      <c r="C40" s="11" t="s">
        <v>94</v>
      </c>
      <c r="D40" s="32" t="s">
        <v>95</v>
      </c>
      <c r="E40" s="37"/>
      <c r="F40" s="11" t="s">
        <v>161</v>
      </c>
      <c r="I40">
        <f t="shared" si="0"/>
        <v>1</v>
      </c>
    </row>
    <row r="41" spans="1:9" ht="60">
      <c r="A41" s="2">
        <v>39</v>
      </c>
      <c r="B41" s="5" t="s">
        <v>72</v>
      </c>
      <c r="C41" s="11" t="s">
        <v>96</v>
      </c>
      <c r="D41" s="32" t="s">
        <v>97</v>
      </c>
      <c r="E41" s="39"/>
      <c r="F41" s="11" t="s">
        <v>162</v>
      </c>
      <c r="I41">
        <f t="shared" si="0"/>
        <v>1</v>
      </c>
    </row>
    <row r="42" spans="1:9" ht="45">
      <c r="A42" s="2">
        <v>40</v>
      </c>
      <c r="B42" s="5" t="s">
        <v>121</v>
      </c>
      <c r="C42" s="11" t="s">
        <v>115</v>
      </c>
      <c r="D42" s="32" t="s">
        <v>116</v>
      </c>
      <c r="E42" s="41" t="s">
        <v>149</v>
      </c>
      <c r="F42" s="11" t="s">
        <v>163</v>
      </c>
      <c r="I42">
        <f t="shared" si="0"/>
        <v>1</v>
      </c>
    </row>
    <row r="43" spans="1:9" ht="45">
      <c r="A43" s="2">
        <v>41</v>
      </c>
      <c r="B43" s="5" t="s">
        <v>153</v>
      </c>
      <c r="C43" s="11" t="s">
        <v>119</v>
      </c>
      <c r="D43" s="32" t="s">
        <v>120</v>
      </c>
      <c r="E43" s="41"/>
      <c r="F43" s="11"/>
      <c r="I43">
        <f t="shared" si="0"/>
        <v>0</v>
      </c>
    </row>
    <row r="44" spans="1:9" ht="45.75" thickBot="1">
      <c r="A44" s="2">
        <v>42</v>
      </c>
      <c r="B44" s="33" t="s">
        <v>154</v>
      </c>
      <c r="C44" s="34" t="s">
        <v>117</v>
      </c>
      <c r="D44" s="35" t="s">
        <v>118</v>
      </c>
      <c r="E44" s="42"/>
      <c r="F44" s="11"/>
      <c r="I44">
        <f t="shared" si="0"/>
        <v>0</v>
      </c>
    </row>
    <row r="45" spans="1:9" ht="75">
      <c r="A45" s="2">
        <v>43</v>
      </c>
      <c r="B45" s="4" t="s">
        <v>22</v>
      </c>
      <c r="C45" s="14" t="s">
        <v>130</v>
      </c>
      <c r="D45" s="15" t="s">
        <v>131</v>
      </c>
      <c r="E45" s="21"/>
      <c r="F45" s="11" t="s">
        <v>158</v>
      </c>
      <c r="G45">
        <v>9</v>
      </c>
      <c r="I45">
        <f t="shared" si="0"/>
        <v>1</v>
      </c>
    </row>
    <row r="46" spans="1:9" ht="45">
      <c r="A46" s="2">
        <v>44</v>
      </c>
      <c r="B46" s="3" t="s">
        <v>43</v>
      </c>
      <c r="C46" s="10" t="s">
        <v>132</v>
      </c>
      <c r="D46" s="16" t="s">
        <v>133</v>
      </c>
      <c r="E46" s="25"/>
      <c r="I46">
        <f t="shared" si="0"/>
        <v>0</v>
      </c>
    </row>
    <row r="47" spans="1:9" ht="45">
      <c r="A47" s="2">
        <v>45</v>
      </c>
      <c r="B47" s="3" t="s">
        <v>23</v>
      </c>
      <c r="C47" s="10" t="s">
        <v>134</v>
      </c>
      <c r="D47" s="16" t="s">
        <v>135</v>
      </c>
      <c r="E47" s="20"/>
      <c r="I47">
        <f t="shared" si="0"/>
        <v>0</v>
      </c>
    </row>
    <row r="48" spans="1:9" ht="45">
      <c r="A48" s="2">
        <v>46</v>
      </c>
      <c r="B48" s="3" t="s">
        <v>44</v>
      </c>
      <c r="C48" s="10" t="s">
        <v>136</v>
      </c>
      <c r="D48" s="16" t="s">
        <v>137</v>
      </c>
      <c r="E48" s="20"/>
      <c r="I48">
        <f t="shared" si="0"/>
        <v>0</v>
      </c>
    </row>
    <row r="49" spans="1:9" ht="45">
      <c r="A49" s="2">
        <v>47</v>
      </c>
      <c r="B49" s="3" t="s">
        <v>24</v>
      </c>
      <c r="C49" s="10" t="s">
        <v>138</v>
      </c>
      <c r="D49" s="16" t="s">
        <v>139</v>
      </c>
      <c r="E49" s="20"/>
      <c r="I49">
        <f t="shared" si="0"/>
        <v>0</v>
      </c>
    </row>
    <row r="50" spans="1:9" ht="60">
      <c r="A50" s="2">
        <v>48</v>
      </c>
      <c r="B50" s="3" t="s">
        <v>25</v>
      </c>
      <c r="C50" s="10" t="s">
        <v>140</v>
      </c>
      <c r="D50" s="16" t="s">
        <v>141</v>
      </c>
      <c r="E50" s="23"/>
      <c r="F50" s="11"/>
      <c r="I50">
        <f t="shared" si="0"/>
        <v>0</v>
      </c>
    </row>
    <row r="51" spans="1:9" ht="60">
      <c r="A51" s="2">
        <v>49</v>
      </c>
      <c r="B51" s="3" t="s">
        <v>45</v>
      </c>
      <c r="C51" s="10" t="s">
        <v>142</v>
      </c>
      <c r="D51" s="16" t="s">
        <v>143</v>
      </c>
      <c r="E51" s="25"/>
      <c r="I51">
        <f t="shared" si="0"/>
        <v>0</v>
      </c>
    </row>
    <row r="52" spans="1:9" ht="75">
      <c r="A52" s="2">
        <v>50</v>
      </c>
      <c r="B52" s="3" t="s">
        <v>26</v>
      </c>
      <c r="C52" s="10" t="s">
        <v>144</v>
      </c>
      <c r="D52" s="16" t="s">
        <v>145</v>
      </c>
      <c r="E52" s="23"/>
      <c r="F52" s="11"/>
      <c r="I52">
        <f t="shared" si="0"/>
        <v>0</v>
      </c>
    </row>
    <row r="53" spans="1:9" ht="75.75" thickBot="1">
      <c r="A53" s="2">
        <v>51</v>
      </c>
      <c r="B53" s="17" t="s">
        <v>27</v>
      </c>
      <c r="C53" s="18" t="s">
        <v>146</v>
      </c>
      <c r="D53" s="19" t="s">
        <v>147</v>
      </c>
      <c r="E53" s="26"/>
      <c r="F53" s="11" t="s">
        <v>158</v>
      </c>
      <c r="I53">
        <f t="shared" si="0"/>
        <v>1</v>
      </c>
    </row>
  </sheetData>
  <customSheetViews>
    <customSheetView guid="{0AB4E75F-2D7B-4C5A-AD7C-1837EAFF8F53}" scale="220" showPageBreaks="1" fitToPage="1" topLeftCell="A31">
      <selection activeCell="F34" sqref="F34"/>
      <pageMargins left="0.7" right="0.7" top="0.78740157499999996" bottom="0.78740157499999996" header="0.3" footer="0.3"/>
      <pageSetup paperSize="9" scale="45" fitToHeight="0" orientation="portrait" r:id="rId1"/>
    </customSheetView>
    <customSheetView guid="{47B4CD57-5B2E-4389-ABE6-89250A82D1C8}" scale="90" topLeftCell="B40">
      <selection activeCell="F45" sqref="F45"/>
      <pageMargins left="0.7" right="0.7" top="0.78740157499999996" bottom="0.78740157499999996" header="0.3" footer="0.3"/>
      <pageSetup paperSize="9" orientation="portrait" r:id="rId2"/>
    </customSheetView>
    <customSheetView guid="{890A2A41-DF1E-FA42-8D9E-8E3DE3754670}" scale="133" topLeftCell="A10">
      <selection activeCell="E18" sqref="E18"/>
      <pageMargins left="0.7" right="0.7" top="0.78740157499999996" bottom="0.78740157499999996" header="0.3" footer="0.3"/>
      <pageSetup paperSize="9" orientation="portrait" r:id="rId3"/>
    </customSheetView>
  </customSheetViews>
  <mergeCells count="2">
    <mergeCell ref="E42:E44"/>
    <mergeCell ref="A1:C1"/>
  </mergeCells>
  <pageMargins left="0.7" right="0.7" top="0.78740157499999996" bottom="0.78740157499999996" header="0.3" footer="0.3"/>
  <pageSetup paperSize="9" scale="45" fitToHeight="0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Fenn</dc:creator>
  <cp:lastModifiedBy>Julius Fenn</cp:lastModifiedBy>
  <cp:lastPrinted>2022-06-13T07:07:03Z</cp:lastPrinted>
  <dcterms:created xsi:type="dcterms:W3CDTF">2021-03-19T09:41:44Z</dcterms:created>
  <dcterms:modified xsi:type="dcterms:W3CDTF">2022-09-29T10:43:25Z</dcterms:modified>
</cp:coreProperties>
</file>